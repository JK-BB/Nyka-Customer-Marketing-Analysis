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<sst xmlns="http://schemas.openxmlformats.org/spreadsheetml/2006/main" count="197" uniqueCount="96">
  <si>
    <t>Order_ID</t>
  </si>
  <si>
    <t>Customer_ID</t>
  </si>
  <si>
    <t>Order_Date</t>
  </si>
  <si>
    <t>Age</t>
  </si>
  <si>
    <t>Gender</t>
  </si>
  <si>
    <t>City</t>
  </si>
  <si>
    <t>Product_Category</t>
  </si>
  <si>
    <t>Product_Name</t>
  </si>
  <si>
    <t>Price</t>
  </si>
  <si>
    <t>Discount_Percentage</t>
  </si>
  <si>
    <t>Final_Amount</t>
  </si>
  <si>
    <t>Marketing_Channel</t>
  </si>
  <si>
    <t>Customer_Type</t>
  </si>
  <si>
    <t>Rating</t>
  </si>
  <si>
    <t>Repeat_Purchase</t>
  </si>
  <si>
    <t>Revenue</t>
  </si>
  <si>
    <t>Discount_Amount</t>
  </si>
  <si>
    <t>ORD1001</t>
  </si>
  <si>
    <t>CUST001</t>
  </si>
  <si>
    <t>Female</t>
  </si>
  <si>
    <t>Mumbai</t>
  </si>
  <si>
    <t>Skincare</t>
  </si>
  <si>
    <t>Vitamin C Serum</t>
  </si>
  <si>
    <t>Instagram</t>
  </si>
  <si>
    <t>New</t>
  </si>
  <si>
    <t>No</t>
  </si>
  <si>
    <t>ORD1002</t>
  </si>
  <si>
    <t>CUST002</t>
  </si>
  <si>
    <t>Delhi</t>
  </si>
  <si>
    <t>Makeup</t>
  </si>
  <si>
    <t>Lipstick</t>
  </si>
  <si>
    <t>Google Ads</t>
  </si>
  <si>
    <t>Returning</t>
  </si>
  <si>
    <t>Yes</t>
  </si>
  <si>
    <t>ORD1003</t>
  </si>
  <si>
    <t>CUST003</t>
  </si>
  <si>
    <t>Bangalore</t>
  </si>
  <si>
    <t>Haircare</t>
  </si>
  <si>
    <t>Hair Oil</t>
  </si>
  <si>
    <t>ORD1004</t>
  </si>
  <si>
    <t>CUST004</t>
  </si>
  <si>
    <t>Pune</t>
  </si>
  <si>
    <t>Fragrance</t>
  </si>
  <si>
    <t>Perfume</t>
  </si>
  <si>
    <t>YouTube</t>
  </si>
  <si>
    <t>ORD1005</t>
  </si>
  <si>
    <t>CUST005</t>
  </si>
  <si>
    <t>Hyderabad</t>
  </si>
  <si>
    <t>Wellness</t>
  </si>
  <si>
    <t>Supplements</t>
  </si>
  <si>
    <t>Referral</t>
  </si>
  <si>
    <t>ORD1006</t>
  </si>
  <si>
    <t>CUST006</t>
  </si>
  <si>
    <t>Foundation</t>
  </si>
  <si>
    <t>ORD1007</t>
  </si>
  <si>
    <t>CUST007</t>
  </si>
  <si>
    <t>Face Wash</t>
  </si>
  <si>
    <t>Email</t>
  </si>
  <si>
    <t>ORD1008</t>
  </si>
  <si>
    <t>CUST008</t>
  </si>
  <si>
    <t>Shampoo</t>
  </si>
  <si>
    <t>ORD1009</t>
  </si>
  <si>
    <t>CUST009</t>
  </si>
  <si>
    <t>Moisturizer</t>
  </si>
  <si>
    <t>ORD1010</t>
  </si>
  <si>
    <t>CUST010</t>
  </si>
  <si>
    <t>Body Mist</t>
  </si>
  <si>
    <t>ORD1011</t>
  </si>
  <si>
    <t>CUST011</t>
  </si>
  <si>
    <t>Kajal</t>
  </si>
  <si>
    <t>ORD1012</t>
  </si>
  <si>
    <t>CUST012</t>
  </si>
  <si>
    <t>Protein Powder</t>
  </si>
  <si>
    <t>ORD1013</t>
  </si>
  <si>
    <t>CUST013</t>
  </si>
  <si>
    <t>Sunscreen</t>
  </si>
  <si>
    <t>ORD1014</t>
  </si>
  <si>
    <t>CUST014</t>
  </si>
  <si>
    <t>Conditioner</t>
  </si>
  <si>
    <t>ORD1015</t>
  </si>
  <si>
    <t>CUST015</t>
  </si>
  <si>
    <t>Blush</t>
  </si>
  <si>
    <t>ORD1016</t>
  </si>
  <si>
    <t>CUST016</t>
  </si>
  <si>
    <t>ORD1017</t>
  </si>
  <si>
    <t>CUST017</t>
  </si>
  <si>
    <t>Serum</t>
  </si>
  <si>
    <t>ORD1018</t>
  </si>
  <si>
    <t>CUST018</t>
  </si>
  <si>
    <t>Mascara</t>
  </si>
  <si>
    <t>ORD1019</t>
  </si>
  <si>
    <t>CUST019</t>
  </si>
  <si>
    <t>Vitamins</t>
  </si>
  <si>
    <t>ORD1020</t>
  </si>
  <si>
    <t>CUST020</t>
  </si>
  <si>
    <t>Hair Mask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</si>
</sst>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2">
        <v>45662.0</v>
      </c>
      <c r="D2" s="1">
        <v>23.0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999.0</v>
      </c>
      <c r="J2" s="1">
        <v>20.0</v>
      </c>
      <c r="K2" s="1">
        <v>799.0</v>
      </c>
      <c r="L2" s="1" t="s">
        <v>23</v>
      </c>
      <c r="M2" s="1" t="s">
        <v>24</v>
      </c>
      <c r="N2" s="1">
        <v>4.6</v>
      </c>
      <c r="O2" s="1" t="s">
        <v>25</v>
      </c>
      <c r="P2" s="3">
        <f t="shared" ref="P2:P21" si="1">K2</f>
        <v>799</v>
      </c>
      <c r="Q2" s="3">
        <f t="shared" ref="Q2:Q21" si="2">J2*I2/100</f>
        <v>199.8</v>
      </c>
    </row>
    <row r="3">
      <c r="A3" s="1" t="s">
        <v>26</v>
      </c>
      <c r="B3" s="1" t="s">
        <v>27</v>
      </c>
      <c r="C3" s="2">
        <v>45665.0</v>
      </c>
      <c r="D3" s="1">
        <v>27.0</v>
      </c>
      <c r="E3" s="1" t="s">
        <v>19</v>
      </c>
      <c r="F3" s="1" t="s">
        <v>28</v>
      </c>
      <c r="G3" s="1" t="s">
        <v>29</v>
      </c>
      <c r="H3" s="1" t="s">
        <v>30</v>
      </c>
      <c r="I3" s="1">
        <v>699.0</v>
      </c>
      <c r="J3" s="1">
        <v>10.0</v>
      </c>
      <c r="K3" s="1">
        <v>629.0</v>
      </c>
      <c r="L3" s="1" t="s">
        <v>31</v>
      </c>
      <c r="M3" s="1" t="s">
        <v>32</v>
      </c>
      <c r="N3" s="1">
        <v>4.2</v>
      </c>
      <c r="O3" s="1" t="s">
        <v>33</v>
      </c>
      <c r="P3" s="3">
        <f t="shared" si="1"/>
        <v>629</v>
      </c>
      <c r="Q3" s="3">
        <f t="shared" si="2"/>
        <v>69.9</v>
      </c>
    </row>
    <row r="4">
      <c r="A4" s="1" t="s">
        <v>34</v>
      </c>
      <c r="B4" s="1" t="s">
        <v>35</v>
      </c>
      <c r="C4" s="2">
        <v>45667.0</v>
      </c>
      <c r="D4" s="1">
        <v>31.0</v>
      </c>
      <c r="E4" s="1" t="s">
        <v>19</v>
      </c>
      <c r="F4" s="1" t="s">
        <v>36</v>
      </c>
      <c r="G4" s="1" t="s">
        <v>37</v>
      </c>
      <c r="H4" s="1" t="s">
        <v>38</v>
      </c>
      <c r="I4" s="1">
        <v>499.0</v>
      </c>
      <c r="J4" s="1">
        <v>15.0</v>
      </c>
      <c r="K4" s="1">
        <v>424.0</v>
      </c>
      <c r="L4" s="1" t="s">
        <v>23</v>
      </c>
      <c r="M4" s="1" t="s">
        <v>24</v>
      </c>
      <c r="N4" s="1">
        <v>4.5</v>
      </c>
      <c r="O4" s="1" t="s">
        <v>25</v>
      </c>
      <c r="P4" s="3">
        <f t="shared" si="1"/>
        <v>424</v>
      </c>
      <c r="Q4" s="3">
        <f t="shared" si="2"/>
        <v>74.85</v>
      </c>
    </row>
    <row r="5">
      <c r="A5" s="1" t="s">
        <v>39</v>
      </c>
      <c r="B5" s="1" t="s">
        <v>40</v>
      </c>
      <c r="C5" s="2">
        <v>45669.0</v>
      </c>
      <c r="D5" s="1">
        <v>25.0</v>
      </c>
      <c r="E5" s="1" t="s">
        <v>19</v>
      </c>
      <c r="F5" s="1" t="s">
        <v>41</v>
      </c>
      <c r="G5" s="1" t="s">
        <v>42</v>
      </c>
      <c r="H5" s="1" t="s">
        <v>43</v>
      </c>
      <c r="I5" s="1">
        <v>1299.0</v>
      </c>
      <c r="J5" s="1">
        <v>25.0</v>
      </c>
      <c r="K5" s="1">
        <v>974.0</v>
      </c>
      <c r="L5" s="1" t="s">
        <v>44</v>
      </c>
      <c r="M5" s="1" t="s">
        <v>32</v>
      </c>
      <c r="N5" s="1">
        <v>4.7</v>
      </c>
      <c r="O5" s="1" t="s">
        <v>33</v>
      </c>
      <c r="P5" s="3">
        <f t="shared" si="1"/>
        <v>974</v>
      </c>
      <c r="Q5" s="3">
        <f t="shared" si="2"/>
        <v>324.75</v>
      </c>
    </row>
    <row r="6">
      <c r="A6" s="1" t="s">
        <v>45</v>
      </c>
      <c r="B6" s="1" t="s">
        <v>46</v>
      </c>
      <c r="C6" s="2">
        <v>45672.0</v>
      </c>
      <c r="D6" s="1">
        <v>29.0</v>
      </c>
      <c r="E6" s="1" t="s">
        <v>19</v>
      </c>
      <c r="F6" s="1" t="s">
        <v>47</v>
      </c>
      <c r="G6" s="1" t="s">
        <v>48</v>
      </c>
      <c r="H6" s="1" t="s">
        <v>49</v>
      </c>
      <c r="I6" s="1">
        <v>899.0</v>
      </c>
      <c r="J6" s="1">
        <v>5.0</v>
      </c>
      <c r="K6" s="1">
        <v>854.0</v>
      </c>
      <c r="L6" s="1" t="s">
        <v>50</v>
      </c>
      <c r="M6" s="1" t="s">
        <v>24</v>
      </c>
      <c r="N6" s="1">
        <v>4.1</v>
      </c>
      <c r="O6" s="1" t="s">
        <v>25</v>
      </c>
      <c r="P6" s="3">
        <f t="shared" si="1"/>
        <v>854</v>
      </c>
      <c r="Q6" s="3">
        <f t="shared" si="2"/>
        <v>44.95</v>
      </c>
    </row>
    <row r="7">
      <c r="A7" s="1" t="s">
        <v>51</v>
      </c>
      <c r="B7" s="1" t="s">
        <v>52</v>
      </c>
      <c r="C7" s="2">
        <v>45675.0</v>
      </c>
      <c r="D7" s="1">
        <v>22.0</v>
      </c>
      <c r="E7" s="1" t="s">
        <v>19</v>
      </c>
      <c r="F7" s="1" t="s">
        <v>20</v>
      </c>
      <c r="G7" s="1" t="s">
        <v>29</v>
      </c>
      <c r="H7" s="1" t="s">
        <v>53</v>
      </c>
      <c r="I7" s="1">
        <v>899.0</v>
      </c>
      <c r="J7" s="1">
        <v>20.0</v>
      </c>
      <c r="K7" s="1">
        <v>719.0</v>
      </c>
      <c r="L7" s="1" t="s">
        <v>23</v>
      </c>
      <c r="M7" s="1" t="s">
        <v>32</v>
      </c>
      <c r="N7" s="1">
        <v>4.4</v>
      </c>
      <c r="O7" s="1" t="s">
        <v>33</v>
      </c>
      <c r="P7" s="3">
        <f t="shared" si="1"/>
        <v>719</v>
      </c>
      <c r="Q7" s="3">
        <f t="shared" si="2"/>
        <v>179.8</v>
      </c>
    </row>
    <row r="8">
      <c r="A8" s="1" t="s">
        <v>54</v>
      </c>
      <c r="B8" s="1" t="s">
        <v>55</v>
      </c>
      <c r="C8" s="2">
        <v>45677.0</v>
      </c>
      <c r="D8" s="1">
        <v>35.0</v>
      </c>
      <c r="E8" s="1" t="s">
        <v>19</v>
      </c>
      <c r="F8" s="1" t="s">
        <v>28</v>
      </c>
      <c r="G8" s="1" t="s">
        <v>21</v>
      </c>
      <c r="H8" s="1" t="s">
        <v>56</v>
      </c>
      <c r="I8" s="1">
        <v>399.0</v>
      </c>
      <c r="J8" s="1">
        <v>10.0</v>
      </c>
      <c r="K8" s="1">
        <v>359.0</v>
      </c>
      <c r="L8" s="1" t="s">
        <v>57</v>
      </c>
      <c r="M8" s="1" t="s">
        <v>24</v>
      </c>
      <c r="N8" s="1">
        <v>4.0</v>
      </c>
      <c r="O8" s="1" t="s">
        <v>25</v>
      </c>
      <c r="P8" s="3">
        <f t="shared" si="1"/>
        <v>359</v>
      </c>
      <c r="Q8" s="3">
        <f t="shared" si="2"/>
        <v>39.9</v>
      </c>
    </row>
    <row r="9">
      <c r="A9" s="1" t="s">
        <v>58</v>
      </c>
      <c r="B9" s="1" t="s">
        <v>59</v>
      </c>
      <c r="C9" s="2">
        <v>45679.0</v>
      </c>
      <c r="D9" s="1">
        <v>26.0</v>
      </c>
      <c r="E9" s="1" t="s">
        <v>19</v>
      </c>
      <c r="F9" s="1" t="s">
        <v>36</v>
      </c>
      <c r="G9" s="1" t="s">
        <v>37</v>
      </c>
      <c r="H9" s="1" t="s">
        <v>60</v>
      </c>
      <c r="I9" s="1">
        <v>599.0</v>
      </c>
      <c r="J9" s="1">
        <v>15.0</v>
      </c>
      <c r="K9" s="1">
        <v>509.0</v>
      </c>
      <c r="L9" s="1" t="s">
        <v>31</v>
      </c>
      <c r="M9" s="1" t="s">
        <v>32</v>
      </c>
      <c r="N9" s="1">
        <v>4.3</v>
      </c>
      <c r="O9" s="1" t="s">
        <v>33</v>
      </c>
      <c r="P9" s="3">
        <f t="shared" si="1"/>
        <v>509</v>
      </c>
      <c r="Q9" s="3">
        <f t="shared" si="2"/>
        <v>89.85</v>
      </c>
    </row>
    <row r="10">
      <c r="A10" s="1" t="s">
        <v>61</v>
      </c>
      <c r="B10" s="1" t="s">
        <v>62</v>
      </c>
      <c r="C10" s="2">
        <v>45682.0</v>
      </c>
      <c r="D10" s="1">
        <v>24.0</v>
      </c>
      <c r="E10" s="1" t="s">
        <v>19</v>
      </c>
      <c r="F10" s="1" t="s">
        <v>41</v>
      </c>
      <c r="G10" s="1" t="s">
        <v>21</v>
      </c>
      <c r="H10" s="1" t="s">
        <v>63</v>
      </c>
      <c r="I10" s="1">
        <v>799.0</v>
      </c>
      <c r="J10" s="1">
        <v>20.0</v>
      </c>
      <c r="K10" s="1">
        <v>639.0</v>
      </c>
      <c r="L10" s="1" t="s">
        <v>23</v>
      </c>
      <c r="M10" s="1" t="s">
        <v>24</v>
      </c>
      <c r="N10" s="1">
        <v>4.8</v>
      </c>
      <c r="O10" s="1" t="s">
        <v>25</v>
      </c>
      <c r="P10" s="3">
        <f t="shared" si="1"/>
        <v>639</v>
      </c>
      <c r="Q10" s="3">
        <f t="shared" si="2"/>
        <v>159.8</v>
      </c>
    </row>
    <row r="11">
      <c r="A11" s="1" t="s">
        <v>64</v>
      </c>
      <c r="B11" s="1" t="s">
        <v>65</v>
      </c>
      <c r="C11" s="2">
        <v>45685.0</v>
      </c>
      <c r="D11" s="1">
        <v>30.0</v>
      </c>
      <c r="E11" s="1" t="s">
        <v>19</v>
      </c>
      <c r="F11" s="1" t="s">
        <v>20</v>
      </c>
      <c r="G11" s="1" t="s">
        <v>42</v>
      </c>
      <c r="H11" s="1" t="s">
        <v>66</v>
      </c>
      <c r="I11" s="1">
        <v>599.0</v>
      </c>
      <c r="J11" s="1">
        <v>10.0</v>
      </c>
      <c r="K11" s="1">
        <v>539.0</v>
      </c>
      <c r="L11" s="1" t="s">
        <v>44</v>
      </c>
      <c r="M11" s="1" t="s">
        <v>32</v>
      </c>
      <c r="N11" s="1">
        <v>4.6</v>
      </c>
      <c r="O11" s="1" t="s">
        <v>33</v>
      </c>
      <c r="P11" s="3">
        <f t="shared" si="1"/>
        <v>539</v>
      </c>
      <c r="Q11" s="3">
        <f t="shared" si="2"/>
        <v>59.9</v>
      </c>
    </row>
    <row r="12">
      <c r="A12" s="1" t="s">
        <v>67</v>
      </c>
      <c r="B12" s="1" t="s">
        <v>68</v>
      </c>
      <c r="C12" s="2">
        <v>45690.0</v>
      </c>
      <c r="D12" s="1">
        <v>21.0</v>
      </c>
      <c r="E12" s="1" t="s">
        <v>19</v>
      </c>
      <c r="F12" s="1" t="s">
        <v>28</v>
      </c>
      <c r="G12" s="1" t="s">
        <v>29</v>
      </c>
      <c r="H12" s="1" t="s">
        <v>69</v>
      </c>
      <c r="I12" s="1">
        <v>299.0</v>
      </c>
      <c r="J12" s="1">
        <v>5.0</v>
      </c>
      <c r="K12" s="1">
        <v>284.0</v>
      </c>
      <c r="L12" s="1" t="s">
        <v>23</v>
      </c>
      <c r="M12" s="1" t="s">
        <v>24</v>
      </c>
      <c r="N12" s="1">
        <v>4.2</v>
      </c>
      <c r="O12" s="1" t="s">
        <v>25</v>
      </c>
      <c r="P12" s="3">
        <f t="shared" si="1"/>
        <v>284</v>
      </c>
      <c r="Q12" s="3">
        <f t="shared" si="2"/>
        <v>14.95</v>
      </c>
    </row>
    <row r="13">
      <c r="A13" s="1" t="s">
        <v>70</v>
      </c>
      <c r="B13" s="1" t="s">
        <v>71</v>
      </c>
      <c r="C13" s="2">
        <v>45693.0</v>
      </c>
      <c r="D13" s="1">
        <v>28.0</v>
      </c>
      <c r="E13" s="1" t="s">
        <v>19</v>
      </c>
      <c r="F13" s="1" t="s">
        <v>36</v>
      </c>
      <c r="G13" s="1" t="s">
        <v>48</v>
      </c>
      <c r="H13" s="1" t="s">
        <v>72</v>
      </c>
      <c r="I13" s="1">
        <v>1499.0</v>
      </c>
      <c r="J13" s="1">
        <v>15.0</v>
      </c>
      <c r="K13" s="1">
        <v>1274.0</v>
      </c>
      <c r="L13" s="1" t="s">
        <v>31</v>
      </c>
      <c r="M13" s="1" t="s">
        <v>32</v>
      </c>
      <c r="N13" s="1">
        <v>4.5</v>
      </c>
      <c r="O13" s="1" t="s">
        <v>33</v>
      </c>
      <c r="P13" s="3">
        <f t="shared" si="1"/>
        <v>1274</v>
      </c>
      <c r="Q13" s="3">
        <f t="shared" si="2"/>
        <v>224.85</v>
      </c>
    </row>
    <row r="14">
      <c r="A14" s="1" t="s">
        <v>73</v>
      </c>
      <c r="B14" s="1" t="s">
        <v>74</v>
      </c>
      <c r="C14" s="2">
        <v>45696.0</v>
      </c>
      <c r="D14" s="1">
        <v>33.0</v>
      </c>
      <c r="E14" s="1" t="s">
        <v>19</v>
      </c>
      <c r="F14" s="1" t="s">
        <v>20</v>
      </c>
      <c r="G14" s="1" t="s">
        <v>21</v>
      </c>
      <c r="H14" s="1" t="s">
        <v>75</v>
      </c>
      <c r="I14" s="1">
        <v>699.0</v>
      </c>
      <c r="J14" s="1">
        <v>20.0</v>
      </c>
      <c r="K14" s="1">
        <v>559.0</v>
      </c>
      <c r="L14" s="1" t="s">
        <v>50</v>
      </c>
      <c r="M14" s="1" t="s">
        <v>24</v>
      </c>
      <c r="N14" s="1">
        <v>4.7</v>
      </c>
      <c r="O14" s="1" t="s">
        <v>25</v>
      </c>
      <c r="P14" s="3">
        <f t="shared" si="1"/>
        <v>559</v>
      </c>
      <c r="Q14" s="3">
        <f t="shared" si="2"/>
        <v>139.8</v>
      </c>
    </row>
    <row r="15">
      <c r="A15" s="1" t="s">
        <v>76</v>
      </c>
      <c r="B15" s="1" t="s">
        <v>77</v>
      </c>
      <c r="C15" s="2">
        <v>45700.0</v>
      </c>
      <c r="D15" s="1">
        <v>26.0</v>
      </c>
      <c r="E15" s="1" t="s">
        <v>19</v>
      </c>
      <c r="F15" s="1" t="s">
        <v>41</v>
      </c>
      <c r="G15" s="1" t="s">
        <v>37</v>
      </c>
      <c r="H15" s="1" t="s">
        <v>78</v>
      </c>
      <c r="I15" s="1">
        <v>499.0</v>
      </c>
      <c r="J15" s="1">
        <v>10.0</v>
      </c>
      <c r="K15" s="1">
        <v>449.0</v>
      </c>
      <c r="L15" s="1" t="s">
        <v>57</v>
      </c>
      <c r="M15" s="1" t="s">
        <v>32</v>
      </c>
      <c r="N15" s="1">
        <v>4.1</v>
      </c>
      <c r="O15" s="1" t="s">
        <v>33</v>
      </c>
      <c r="P15" s="3">
        <f t="shared" si="1"/>
        <v>449</v>
      </c>
      <c r="Q15" s="3">
        <f t="shared" si="2"/>
        <v>49.9</v>
      </c>
    </row>
    <row r="16">
      <c r="A16" s="1" t="s">
        <v>79</v>
      </c>
      <c r="B16" s="1" t="s">
        <v>80</v>
      </c>
      <c r="C16" s="2">
        <v>45703.0</v>
      </c>
      <c r="D16" s="1">
        <v>29.0</v>
      </c>
      <c r="E16" s="1" t="s">
        <v>19</v>
      </c>
      <c r="F16" s="1" t="s">
        <v>47</v>
      </c>
      <c r="G16" s="1" t="s">
        <v>29</v>
      </c>
      <c r="H16" s="1" t="s">
        <v>81</v>
      </c>
      <c r="I16" s="1">
        <v>599.0</v>
      </c>
      <c r="J16" s="1">
        <v>15.0</v>
      </c>
      <c r="K16" s="1">
        <v>509.0</v>
      </c>
      <c r="L16" s="1" t="s">
        <v>23</v>
      </c>
      <c r="M16" s="1" t="s">
        <v>24</v>
      </c>
      <c r="N16" s="1">
        <v>4.3</v>
      </c>
      <c r="O16" s="1" t="s">
        <v>25</v>
      </c>
      <c r="P16" s="3">
        <f t="shared" si="1"/>
        <v>509</v>
      </c>
      <c r="Q16" s="3">
        <f t="shared" si="2"/>
        <v>89.85</v>
      </c>
    </row>
    <row r="17">
      <c r="A17" s="1" t="s">
        <v>82</v>
      </c>
      <c r="B17" s="1" t="s">
        <v>83</v>
      </c>
      <c r="C17" s="2">
        <v>45706.0</v>
      </c>
      <c r="D17" s="1">
        <v>34.0</v>
      </c>
      <c r="E17" s="1" t="s">
        <v>19</v>
      </c>
      <c r="F17" s="1" t="s">
        <v>28</v>
      </c>
      <c r="G17" s="1" t="s">
        <v>42</v>
      </c>
      <c r="H17" s="1" t="s">
        <v>43</v>
      </c>
      <c r="I17" s="1">
        <v>1599.0</v>
      </c>
      <c r="J17" s="1">
        <v>20.0</v>
      </c>
      <c r="K17" s="1">
        <v>1279.0</v>
      </c>
      <c r="L17" s="1" t="s">
        <v>31</v>
      </c>
      <c r="M17" s="1" t="s">
        <v>32</v>
      </c>
      <c r="N17" s="1">
        <v>4.9</v>
      </c>
      <c r="O17" s="1" t="s">
        <v>33</v>
      </c>
      <c r="P17" s="3">
        <f t="shared" si="1"/>
        <v>1279</v>
      </c>
      <c r="Q17" s="3">
        <f t="shared" si="2"/>
        <v>319.8</v>
      </c>
    </row>
    <row r="18">
      <c r="A18" s="1" t="s">
        <v>84</v>
      </c>
      <c r="B18" s="1" t="s">
        <v>85</v>
      </c>
      <c r="C18" s="2">
        <v>45708.0</v>
      </c>
      <c r="D18" s="1">
        <v>23.0</v>
      </c>
      <c r="E18" s="1" t="s">
        <v>19</v>
      </c>
      <c r="F18" s="1" t="s">
        <v>20</v>
      </c>
      <c r="G18" s="1" t="s">
        <v>21</v>
      </c>
      <c r="H18" s="1" t="s">
        <v>86</v>
      </c>
      <c r="I18" s="1">
        <v>899.0</v>
      </c>
      <c r="J18" s="1">
        <v>10.0</v>
      </c>
      <c r="K18" s="1">
        <v>809.0</v>
      </c>
      <c r="L18" s="1" t="s">
        <v>23</v>
      </c>
      <c r="M18" s="1" t="s">
        <v>24</v>
      </c>
      <c r="N18" s="1">
        <v>4.4</v>
      </c>
      <c r="O18" s="1" t="s">
        <v>25</v>
      </c>
      <c r="P18" s="3">
        <f t="shared" si="1"/>
        <v>809</v>
      </c>
      <c r="Q18" s="3">
        <f t="shared" si="2"/>
        <v>89.9</v>
      </c>
    </row>
    <row r="19">
      <c r="A19" s="1" t="s">
        <v>87</v>
      </c>
      <c r="B19" s="1" t="s">
        <v>88</v>
      </c>
      <c r="C19" s="2">
        <v>45710.0</v>
      </c>
      <c r="D19" s="1">
        <v>27.0</v>
      </c>
      <c r="E19" s="1" t="s">
        <v>19</v>
      </c>
      <c r="F19" s="1" t="s">
        <v>36</v>
      </c>
      <c r="G19" s="1" t="s">
        <v>29</v>
      </c>
      <c r="H19" s="1" t="s">
        <v>89</v>
      </c>
      <c r="I19" s="1">
        <v>499.0</v>
      </c>
      <c r="J19" s="1">
        <v>5.0</v>
      </c>
      <c r="K19" s="1">
        <v>474.0</v>
      </c>
      <c r="L19" s="1" t="s">
        <v>44</v>
      </c>
      <c r="M19" s="1" t="s">
        <v>32</v>
      </c>
      <c r="N19" s="1">
        <v>4.2</v>
      </c>
      <c r="O19" s="1" t="s">
        <v>33</v>
      </c>
      <c r="P19" s="3">
        <f t="shared" si="1"/>
        <v>474</v>
      </c>
      <c r="Q19" s="3">
        <f t="shared" si="2"/>
        <v>24.95</v>
      </c>
    </row>
    <row r="20">
      <c r="A20" s="1" t="s">
        <v>90</v>
      </c>
      <c r="B20" s="1" t="s">
        <v>91</v>
      </c>
      <c r="C20" s="2">
        <v>45713.0</v>
      </c>
      <c r="D20" s="1">
        <v>31.0</v>
      </c>
      <c r="E20" s="1" t="s">
        <v>19</v>
      </c>
      <c r="F20" s="1" t="s">
        <v>41</v>
      </c>
      <c r="G20" s="1" t="s">
        <v>48</v>
      </c>
      <c r="H20" s="1" t="s">
        <v>92</v>
      </c>
      <c r="I20" s="1">
        <v>799.0</v>
      </c>
      <c r="J20" s="1">
        <v>15.0</v>
      </c>
      <c r="K20" s="1">
        <v>679.0</v>
      </c>
      <c r="L20" s="1" t="s">
        <v>50</v>
      </c>
      <c r="M20" s="1" t="s">
        <v>24</v>
      </c>
      <c r="N20" s="1">
        <v>4.6</v>
      </c>
      <c r="O20" s="1" t="s">
        <v>25</v>
      </c>
      <c r="P20" s="3">
        <f t="shared" si="1"/>
        <v>679</v>
      </c>
      <c r="Q20" s="3">
        <f t="shared" si="2"/>
        <v>119.85</v>
      </c>
    </row>
    <row r="21">
      <c r="A21" s="1" t="s">
        <v>93</v>
      </c>
      <c r="B21" s="1" t="s">
        <v>94</v>
      </c>
      <c r="C21" s="2">
        <v>45716.0</v>
      </c>
      <c r="D21" s="1">
        <v>25.0</v>
      </c>
      <c r="E21" s="1" t="s">
        <v>19</v>
      </c>
      <c r="F21" s="1" t="s">
        <v>47</v>
      </c>
      <c r="G21" s="1" t="s">
        <v>37</v>
      </c>
      <c r="H21" s="1" t="s">
        <v>95</v>
      </c>
      <c r="I21" s="1">
        <v>699.0</v>
      </c>
      <c r="J21" s="1">
        <v>20.0</v>
      </c>
      <c r="K21" s="1">
        <v>559.0</v>
      </c>
      <c r="L21" s="1" t="s">
        <v>23</v>
      </c>
      <c r="M21" s="1" t="s">
        <v>32</v>
      </c>
      <c r="N21" s="1">
        <v>4.5</v>
      </c>
      <c r="O21" s="1" t="s">
        <v>33</v>
      </c>
      <c r="P21" s="3">
        <f t="shared" si="1"/>
        <v>559</v>
      </c>
      <c r="Q21" s="3">
        <f t="shared" si="2"/>
        <v>139.8</v>
      </c>
    </row>
  </sheetData>
  <drawing r:id="rId1"/>
</worksheet>
</file>